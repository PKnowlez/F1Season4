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<sst xmlns="http://schemas.openxmlformats.org/spreadsheetml/2006/main" count="1781" uniqueCount="311">
  <si>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</si>
  <si>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</si>
  <si>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</si>
  <si>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</si>
  <si>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</si>
  <si>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</si>
  <si>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</si>
  <si>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</si>
  <si>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</si>
  <si>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</si>
  <si>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</si>
  <si>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</si>
  <si>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</si>
  <si>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</si>
  <si>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</si>
  <si>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</si>
  <si>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</si>
  <si>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</si>
  <si>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</si>
  <si>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</si>
  <si>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</si>
  <si>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</si>
  <si>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</si>
  <si>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</si>
  <si>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</si>
  <si>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</si>
  <si>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</si>
  <si>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</si>
  <si>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</si>
  <si>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</si>
  <si>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</si>
  <si>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</si>
  <si>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</si>
  <si>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</si>
  <si>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</si>
  <si>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</si>
  <si>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</si>
  <si>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</si>
  <si>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</si>
  <si>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</si>
  <si>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</si>
  <si>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</si>
  <si>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</si>
  <si>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</si>
  <si>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</si>
  <si>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</si>
  <si>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</si>
  <si>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</si>
  <si>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</si>
  <si>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</si>
  <si>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</si>
  <si>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</si>
  <si>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</si>
  <si>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</si>
  <si>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</si>
  <si>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</si>
  <si>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</si>
  <si>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</si>
  <si>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</si>
  <si>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</si>
  <si>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</si>
  <si>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</si>
  <si>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</si>
  <si>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</si>
  <si>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</si>
  <si>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</si>
  <si>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</si>
  <si>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</si>
  <si>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</si>
  <si>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</si>
  <si>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</si>
  <si>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</si>
  <si>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</si>
  <si>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</si>
  <si>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</si>
  <si>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</si>
  <si>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</si>
  <si>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</si>
  <si>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</si>
  <si>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</si>
  <si>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</si>
  <si>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</si>
  <si>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</si>
  <si>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</si>
  <si>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</si>
  <si>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</si>
  <si>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</si>
  <si>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</si>
  <si>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</si>
  <si>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</si>
  <si>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</si>
  <si>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</si>
  <si>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</si>
  <si>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</si>
  <si>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</si>
  <si>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</si>
  <si>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</si>
  <si>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</si>
  <si>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</si>
  <si>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</si>
  <si>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</si>
  <si>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</si>
  <si>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</si>
  <si>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</si>
  <si>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</si>
  <si>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</si>
  <si>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</si>
  <si>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</si>
  <si>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</si>
  <si>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</si>
  <si>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</si>
  <si>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</si>
  <si>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</si>
  <si>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</si>
  <si>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</si>
  <si>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</si>
  <si>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</si>
  <si>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</si>
  <si>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</si>
  <si>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</si>
  <si>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</si>
  <si>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</si>
  <si>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</si>
  <si>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</si>
  <si>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</si>
  <si>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</si>
  <si>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</si>
  <si>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</si>
  <si>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</si>
  <si>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</si>
  <si>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</si>
  <si>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</si>
  <si>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</si>
  <si>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</si>
  <si>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</si>
  <si>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</si>
  <si>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</si>
  <si>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</si>
  <si>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</si>
  <si>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</si>
  <si>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</si>
  <si>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</si>
  <si>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</si>
  <si>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</si>
  <si>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</si>
  <si>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</si>
  <si>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</si>
  <si>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</si>
  <si>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</si>
  <si>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</si>
  <si>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</si>
  <si>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</si>
  <si>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</si>
  <si>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</si>
  <si>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</si>
  <si>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</si>
  <si>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</si>
  <si>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</si>
  <si>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</si>
  <si>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</si>
  <si>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</si>
  <si>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</si>
  <si>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</si>
  <si>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</si>
  <si>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</si>
  <si>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</si>
  <si>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</si>
  <si>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</si>
  <si>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</si>
  <si>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</si>
  <si>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</si>
  <si>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</si>
  <si>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</si>
  <si>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</si>
  <si>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</si>
  <si>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</si>
  <si>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</si>
  <si>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</si>
  <si>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</si>
  <si>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</si>
  <si>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</si>
  <si>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</si>
  <si>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</si>
  <si>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</si>
  <si>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</si>
  <si>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</si>
  <si>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</si>
  <si>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</si>
  <si>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</si>
  <si>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</si>
  <si>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</si>
  <si>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</si>
  <si>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</si>
  <si>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</si>
  <si>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</si>
  <si>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</si>
  <si>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</si>
  <si>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</si>
  <si>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</si>
  <si>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</si>
  <si>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</si>
  <si>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</si>
  <si>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</si>
  <si>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</si>
  <si>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</si>
  <si>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</si>
  <si>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</si>
  <si>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</si>
  <si>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</si>
  <si>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</si>
  <si>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</si>
  <si>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</si>
  <si>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</si>
  <si>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</si>
  <si>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</si>
  <si>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</si>
  <si>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</si>
  <si>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</si>
  <si>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</si>
  <si>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</si>
  <si>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</si>
  <si>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</si>
  <si>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</si>
  <si>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</si>
  <si>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</si>
  <si>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</si>
  <si>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</si>
  <si>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</si>
  <si>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</si>
  <si>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</si>
  <si>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</si>
  <si>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</si>
  <si>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</si>
  <si>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</si>
  <si>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</si>
  <si>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</si>
  <si>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</si>
  <si>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</si>
  <si>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</si>
  <si>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</si>
  <si>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</si>
  <si>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</si>
  <si>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</si>
  <si>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</si>
  <si>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</si>
  <si>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</si>
  <si>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</si>
  <si>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</si>
  <si>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</si>
  <si>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</si>
  <si>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</si>
  <si>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</si>
  <si>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</si>
  <si>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</si>
  <si>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</si>
  <si>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</si>
  <si>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</si>
  <si>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</si>
  <si>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</si>
  <si>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</si>
  <si>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</si>
  <si>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</si>
  <si>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</si>
  <si>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</si>
  <si>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</si>
  <si>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</si>
  <si>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</si>
  <si>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</si>
  <si>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</si>
  <si>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</si>
  <si>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</si>
  <si>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</si>
  <si>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</si>
  <si>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</si>
  <si>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</si>
  <si>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</si>
  <si>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</si>
  <si>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</si>
  <si>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</si>
  <si>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</si>
  <si>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</si>
  <si>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</si>
  <si>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</si>
  <si>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</si>
  <si>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</si>
  <si>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</si>
  <si>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</si>
  <si>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</si>
  <si>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</si>
  <si>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</si>
  <si>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</si>
  <si>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</si>
  <si>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</si>
  <si>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</si>
  <si>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</si>
  <si>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</si>
  <si>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</si>
  <si>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</si>
  <si>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</si>
  <si>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</si>
  <si>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Confirmed</t>
  </si>
  <si>
    <t>Jeddah</t>
  </si>
  <si>
    <t>1/1/2026</t>
  </si>
  <si>
    <t>Tentative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</si>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</sst>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279</v>
      </c>
      <c r="BR2" s="18" t="s">
        <v>279</v>
      </c>
      <c r="BS2" s="19" t="s">
        <v>279</v>
      </c>
      <c r="BT2" s="11" t="s">
        <v>279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279</v>
      </c>
      <c r="BY2" s="18" t="s">
        <v>279</v>
      </c>
      <c r="BZ2" s="19" t="s">
        <v>278</v>
      </c>
      <c r="CA2" s="11" t="s">
        <v>279</v>
      </c>
      <c r="CB2" s="21">
        <f>IFERROR((VLOOKUP(BV2,Scoring!$A:$B,2,0))+IF(BX2="y",1,0)+IF(BY2="y",1,0)+IF(BZ2="y",1,0)+IF(CA2="y",1,0),0)</f>
        <v>19</v>
      </c>
      <c r="CC2" s="15">
        <v>2.0</v>
      </c>
      <c r="CD2" s="16">
        <v>1.0</v>
      </c>
      <c r="CE2" s="17" t="s">
        <v>279</v>
      </c>
      <c r="CF2" s="18" t="s">
        <v>279</v>
      </c>
      <c r="CG2" s="19" t="s">
        <v>279</v>
      </c>
      <c r="CH2" s="11" t="s">
        <v>279</v>
      </c>
      <c r="CI2" s="21">
        <f>IFERROR((VLOOKUP(CC2,Scoring!$A:$B,2,0))+IF(CE2="y",1,0)+IF(CF2="y",1,0)+IF(CG2="y",1,0)+IF(CH2="y",1,0),0)</f>
        <v>18</v>
      </c>
      <c r="CJ2" s="15"/>
      <c r="CK2" s="23"/>
      <c r="CL2" s="24"/>
      <c r="CM2" s="25"/>
      <c r="CN2" s="26"/>
      <c r="CO2" s="27"/>
      <c r="CP2" s="21">
        <f>IFERROR((VLOOKUP(CJ2,Scoring!$A:$B,2,0))+IF(CL2="y",1,0)+IF(CM2="y",1,0)+IF(CN2="y",1,0)+IF(CO2="y",1,0),0)</f>
        <v>0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279</v>
      </c>
      <c r="BR3" s="31" t="s">
        <v>279</v>
      </c>
      <c r="BS3" s="32" t="s">
        <v>279</v>
      </c>
      <c r="BT3" s="36" t="s">
        <v>279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279</v>
      </c>
      <c r="BY3" s="31" t="s">
        <v>279</v>
      </c>
      <c r="BZ3" s="32" t="s">
        <v>279</v>
      </c>
      <c r="CA3" s="36" t="s">
        <v>279</v>
      </c>
      <c r="CB3" s="34">
        <f>IFERROR((VLOOKUP(BV3,Scoring!$A:$B,2,0))+IF(BX3="y",1,0)+IF(BY3="y",1,0)+IF(BZ3="y",1,0)+IF(CA3="y",1,0),0)</f>
        <v>4</v>
      </c>
      <c r="CC3" s="28">
        <v>10.0</v>
      </c>
      <c r="CD3" s="29">
        <v>22.0</v>
      </c>
      <c r="CE3" s="30" t="s">
        <v>279</v>
      </c>
      <c r="CF3" s="31" t="s">
        <v>279</v>
      </c>
      <c r="CG3" s="32" t="s">
        <v>278</v>
      </c>
      <c r="CH3" s="36" t="s">
        <v>279</v>
      </c>
      <c r="CI3" s="34">
        <f>IFERROR((VLOOKUP(CC3,Scoring!$A:$B,2,0))+IF(CE3="y",1,0)+IF(CF3="y",1,0)+IF(CG3="y",1,0)+IF(CH3="y",1,0),0)</f>
        <v>3</v>
      </c>
      <c r="CJ3" s="28"/>
      <c r="CK3" s="37"/>
      <c r="CL3" s="38"/>
      <c r="CM3" s="39"/>
      <c r="CN3" s="40"/>
      <c r="CO3" s="41"/>
      <c r="CP3" s="34">
        <f>IFERROR((VLOOKUP(CJ3,Scoring!$A:$B,2,0))+IF(CL3="y",1,0)+IF(CM3="y",1,0)+IF(CN3="y",1,0)+IF(CO3="y",1,0),0)</f>
        <v>0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279</v>
      </c>
      <c r="BR4" s="48" t="s">
        <v>279</v>
      </c>
      <c r="BS4" s="49" t="s">
        <v>279</v>
      </c>
      <c r="BT4" s="53" t="s">
        <v>279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279</v>
      </c>
      <c r="BY4" s="48" t="s">
        <v>279</v>
      </c>
      <c r="BZ4" s="49" t="s">
        <v>279</v>
      </c>
      <c r="CA4" s="53" t="s">
        <v>279</v>
      </c>
      <c r="CB4" s="51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279</v>
      </c>
      <c r="CF4" s="48" t="s">
        <v>279</v>
      </c>
      <c r="CG4" s="49" t="s">
        <v>279</v>
      </c>
      <c r="CH4" s="53" t="s">
        <v>279</v>
      </c>
      <c r="CI4" s="51">
        <f>IFERROR((VLOOKUP(CC4,Scoring!$A:$B,2,0))+IF(CE4="y",1,0)+IF(CF4="y",1,0)+IF(CG4="y",1,0)+IF(CH4="y",1,0),0)</f>
        <v>0</v>
      </c>
      <c r="CJ4" s="45"/>
      <c r="CK4" s="54"/>
      <c r="CL4" s="55"/>
      <c r="CM4" s="56"/>
      <c r="CN4" s="57"/>
      <c r="CO4" s="58"/>
      <c r="CP4" s="51">
        <f>IFERROR((VLOOKUP(CJ4,Scoring!$A:$B,2,0))+IF(CL4="y",1,0)+IF(CM4="y",1,0)+IF(CN4="y",1,0)+IF(CO4="y",1,0),0)</f>
        <v>0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279</v>
      </c>
      <c r="BR5" s="65" t="s">
        <v>279</v>
      </c>
      <c r="BS5" s="66" t="s">
        <v>279</v>
      </c>
      <c r="BT5" s="70" t="s">
        <v>279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279</v>
      </c>
      <c r="BY5" s="65" t="s">
        <v>279</v>
      </c>
      <c r="BZ5" s="66" t="s">
        <v>279</v>
      </c>
      <c r="CA5" s="70" t="s">
        <v>279</v>
      </c>
      <c r="CB5" s="68">
        <f>IFERROR((VLOOKUP(BV5,Scoring!$A:$B,2,0))+IF(BX5="y",1,0)+IF(BY5="y",1,0)+IF(BZ5="y",1,0)+IF(CA5="y",1,0),0)</f>
        <v>0</v>
      </c>
      <c r="CC5" s="62">
        <v>22.0</v>
      </c>
      <c r="CD5" s="63">
        <v>22.0</v>
      </c>
      <c r="CE5" s="64" t="s">
        <v>279</v>
      </c>
      <c r="CF5" s="65" t="s">
        <v>279</v>
      </c>
      <c r="CG5" s="66" t="s">
        <v>279</v>
      </c>
      <c r="CH5" s="70" t="s">
        <v>279</v>
      </c>
      <c r="CI5" s="68">
        <f>IFERROR((VLOOKUP(CC5,Scoring!$A:$B,2,0))+IF(CE5="y",1,0)+IF(CF5="y",1,0)+IF(CG5="y",1,0)+IF(CH5="y",1,0),0)</f>
        <v>0</v>
      </c>
      <c r="CJ5" s="62"/>
      <c r="CK5" s="71"/>
      <c r="CL5" s="72"/>
      <c r="CM5" s="73"/>
      <c r="CN5" s="74"/>
      <c r="CO5" s="75"/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279</v>
      </c>
      <c r="BM6" s="36" t="s">
        <v>278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279</v>
      </c>
      <c r="BR6" s="31" t="s">
        <v>279</v>
      </c>
      <c r="BS6" s="32" t="s">
        <v>279</v>
      </c>
      <c r="BT6" s="36" t="s">
        <v>279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279</v>
      </c>
      <c r="BY6" s="31" t="s">
        <v>279</v>
      </c>
      <c r="BZ6" s="32" t="s">
        <v>279</v>
      </c>
      <c r="CA6" s="36" t="s">
        <v>279</v>
      </c>
      <c r="CB6" s="34">
        <f>IFERROR((VLOOKUP(BV6,Scoring!$A:$B,2,0))+IF(BX6="y",1,0)+IF(BY6="y",1,0)+IF(BZ6="y",1,0)+IF(CA6="y",1,0),0)</f>
        <v>12</v>
      </c>
      <c r="CC6" s="28">
        <v>1.0</v>
      </c>
      <c r="CD6" s="29">
        <v>6.0</v>
      </c>
      <c r="CE6" s="30" t="s">
        <v>279</v>
      </c>
      <c r="CF6" s="31" t="s">
        <v>279</v>
      </c>
      <c r="CG6" s="32" t="s">
        <v>279</v>
      </c>
      <c r="CH6" s="36" t="s">
        <v>278</v>
      </c>
      <c r="CI6" s="34">
        <f>IFERROR((VLOOKUP(CC6,Scoring!$A:$B,2,0))+IF(CE6="y",1,0)+IF(CF6="y",1,0)+IF(CG6="y",1,0)+IF(CH6="y",1,0),0)</f>
        <v>26</v>
      </c>
      <c r="CJ6" s="28"/>
      <c r="CK6" s="37"/>
      <c r="CL6" s="38"/>
      <c r="CM6" s="39"/>
      <c r="CN6" s="40"/>
      <c r="CO6" s="41"/>
      <c r="CP6" s="34">
        <f>IFERROR((VLOOKUP(CJ6,Scoring!$A:$B,2,0))+IF(CL6="y",1,0)+IF(CM6="y",1,0)+IF(CN6="y",1,0)+IF(CO6="y",1,0),0)</f>
        <v>0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278</v>
      </c>
      <c r="BM7" s="36" t="s">
        <v>279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279</v>
      </c>
      <c r="BR7" s="31" t="s">
        <v>279</v>
      </c>
      <c r="BS7" s="32" t="s">
        <v>279</v>
      </c>
      <c r="BT7" s="36" t="s">
        <v>279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279</v>
      </c>
      <c r="BY7" s="31" t="s">
        <v>279</v>
      </c>
      <c r="BZ7" s="32" t="s">
        <v>279</v>
      </c>
      <c r="CA7" s="36" t="s">
        <v>279</v>
      </c>
      <c r="CB7" s="34">
        <f>IFERROR((VLOOKUP(BV7,Scoring!$A:$B,2,0))+IF(BX7="y",1,0)+IF(BY7="y",1,0)+IF(BZ7="y",1,0)+IF(CA7="y",1,0),0)</f>
        <v>8</v>
      </c>
      <c r="CC7" s="28">
        <v>8.0</v>
      </c>
      <c r="CD7" s="29">
        <v>4.0</v>
      </c>
      <c r="CE7" s="30" t="s">
        <v>279</v>
      </c>
      <c r="CF7" s="31" t="s">
        <v>279</v>
      </c>
      <c r="CG7" s="32" t="s">
        <v>279</v>
      </c>
      <c r="CH7" s="36" t="s">
        <v>279</v>
      </c>
      <c r="CI7" s="34">
        <f>IFERROR((VLOOKUP(CC7,Scoring!$A:$B,2,0))+IF(CE7="y",1,0)+IF(CF7="y",1,0)+IF(CG7="y",1,0)+IF(CH7="y",1,0),0)</f>
        <v>4</v>
      </c>
      <c r="CJ7" s="28"/>
      <c r="CK7" s="37"/>
      <c r="CL7" s="38"/>
      <c r="CM7" s="39"/>
      <c r="CN7" s="40"/>
      <c r="CO7" s="41"/>
      <c r="CP7" s="34">
        <f>IFERROR((VLOOKUP(CJ7,Scoring!$A:$B,2,0))+IF(CL7="y",1,0)+IF(CM7="y",1,0)+IF(CN7="y",1,0)+IF(CO7="y",1,0),0)</f>
        <v>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279</v>
      </c>
      <c r="BR8" s="48" t="s">
        <v>279</v>
      </c>
      <c r="BS8" s="49" t="s">
        <v>279</v>
      </c>
      <c r="BT8" s="53" t="s">
        <v>279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279</v>
      </c>
      <c r="BY8" s="48" t="s">
        <v>279</v>
      </c>
      <c r="BZ8" s="49" t="s">
        <v>279</v>
      </c>
      <c r="CA8" s="53" t="s">
        <v>279</v>
      </c>
      <c r="CB8" s="51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279</v>
      </c>
      <c r="CF8" s="48" t="s">
        <v>279</v>
      </c>
      <c r="CG8" s="49" t="s">
        <v>279</v>
      </c>
      <c r="CH8" s="53" t="s">
        <v>279</v>
      </c>
      <c r="CI8" s="51">
        <f>IFERROR((VLOOKUP(CC8,Scoring!$A:$B,2,0))+IF(CE8="y",1,0)+IF(CF8="y",1,0)+IF(CG8="y",1,0)+IF(CH8="y",1,0),0)</f>
        <v>1</v>
      </c>
      <c r="CJ8" s="45"/>
      <c r="CK8" s="54"/>
      <c r="CL8" s="55"/>
      <c r="CM8" s="56"/>
      <c r="CN8" s="57"/>
      <c r="CO8" s="58"/>
      <c r="CP8" s="51">
        <f>IFERROR((VLOOKUP(CJ8,Scoring!$A:$B,2,0))+IF(CL8="y",1,0)+IF(CM8="y",1,0)+IF(CN8="y",1,0)+IF(CO8="y",1,0),0)</f>
        <v>0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279</v>
      </c>
      <c r="BR9" s="65" t="s">
        <v>279</v>
      </c>
      <c r="BS9" s="66" t="s">
        <v>279</v>
      </c>
      <c r="BT9" s="70" t="s">
        <v>279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279</v>
      </c>
      <c r="BY9" s="65" t="s">
        <v>279</v>
      </c>
      <c r="BZ9" s="66" t="s">
        <v>279</v>
      </c>
      <c r="CA9" s="70" t="s">
        <v>279</v>
      </c>
      <c r="CB9" s="68">
        <f>IFERROR((VLOOKUP(BV9,Scoring!$A:$B,2,0))+IF(BX9="y",1,0)+IF(BY9="y",1,0)+IF(BZ9="y",1,0)+IF(CA9="y",1,0),0)</f>
        <v>2</v>
      </c>
      <c r="CC9" s="62">
        <v>5.0</v>
      </c>
      <c r="CD9" s="63">
        <v>14.0</v>
      </c>
      <c r="CE9" s="64" t="s">
        <v>279</v>
      </c>
      <c r="CF9" s="65" t="s">
        <v>279</v>
      </c>
      <c r="CG9" s="66" t="s">
        <v>279</v>
      </c>
      <c r="CH9" s="70" t="s">
        <v>279</v>
      </c>
      <c r="CI9" s="68">
        <f>IFERROR((VLOOKUP(CC9,Scoring!$A:$B,2,0))+IF(CE9="y",1,0)+IF(CF9="y",1,0)+IF(CG9="y",1,0)+IF(CH9="y",1,0),0)</f>
        <v>10</v>
      </c>
      <c r="CJ9" s="62"/>
      <c r="CK9" s="71"/>
      <c r="CL9" s="72"/>
      <c r="CM9" s="73"/>
      <c r="CN9" s="74"/>
      <c r="CO9" s="75"/>
      <c r="CP9" s="68">
        <f>IFERROR((VLOOKUP(CJ9,Scoring!$A:$B,2,0))+IF(CL9="y",1,0)+IF(CM9="y",1,0)+IF(CN9="y",1,0)+IF(CO9="y",1,0),0)</f>
        <v>0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279</v>
      </c>
      <c r="BR10" s="31" t="s">
        <v>279</v>
      </c>
      <c r="BS10" s="32" t="s">
        <v>279</v>
      </c>
      <c r="BT10" s="36" t="s">
        <v>279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279</v>
      </c>
      <c r="BY10" s="31" t="s">
        <v>279</v>
      </c>
      <c r="BZ10" s="32" t="s">
        <v>279</v>
      </c>
      <c r="CA10" s="36" t="s">
        <v>279</v>
      </c>
      <c r="CB10" s="34">
        <f>IFERROR((VLOOKUP(BV10,Scoring!$A:$B,2,0))+IF(BX10="y",1,0)+IF(BY10="y",1,0)+IF(BZ10="y",1,0)+IF(CA10="y",1,0),0)</f>
        <v>0</v>
      </c>
      <c r="CC10" s="28">
        <v>4.0</v>
      </c>
      <c r="CD10" s="29">
        <v>5.0</v>
      </c>
      <c r="CE10" s="30" t="s">
        <v>279</v>
      </c>
      <c r="CF10" s="31" t="s">
        <v>279</v>
      </c>
      <c r="CG10" s="32" t="s">
        <v>279</v>
      </c>
      <c r="CH10" s="36" t="s">
        <v>279</v>
      </c>
      <c r="CI10" s="34">
        <f>IFERROR((VLOOKUP(CC10,Scoring!$A:$B,2,0))+IF(CE10="y",1,0)+IF(CF10="y",1,0)+IF(CG10="y",1,0)+IF(CH10="y",1,0),0)</f>
        <v>12</v>
      </c>
      <c r="CJ10" s="28"/>
      <c r="CK10" s="37"/>
      <c r="CL10" s="38"/>
      <c r="CM10" s="39"/>
      <c r="CN10" s="40"/>
      <c r="CO10" s="41"/>
      <c r="CP10" s="34">
        <f>IFERROR((VLOOKUP(CJ10,Scoring!$A:$B,2,0))+IF(CL10="y",1,0)+IF(CM10="y",1,0)+IF(CN10="y",1,0)+IF(CO10="y",1,0),0)</f>
        <v>0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279</v>
      </c>
      <c r="BR11" s="31" t="s">
        <v>279</v>
      </c>
      <c r="BS11" s="32" t="s">
        <v>279</v>
      </c>
      <c r="BT11" s="36" t="s">
        <v>279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279</v>
      </c>
      <c r="BY11" s="31" t="s">
        <v>279</v>
      </c>
      <c r="BZ11" s="32" t="s">
        <v>279</v>
      </c>
      <c r="CA11" s="36" t="s">
        <v>279</v>
      </c>
      <c r="CB11" s="34">
        <f>IFERROR((VLOOKUP(BV11,Scoring!$A:$B,2,0))+IF(BX11="y",1,0)+IF(BY11="y",1,0)+IF(BZ11="y",1,0)+IF(CA11="y",1,0),0)</f>
        <v>0</v>
      </c>
      <c r="CC11" s="28">
        <v>12.0</v>
      </c>
      <c r="CD11" s="29">
        <v>9.0</v>
      </c>
      <c r="CE11" s="30" t="s">
        <v>279</v>
      </c>
      <c r="CF11" s="31" t="s">
        <v>279</v>
      </c>
      <c r="CG11" s="32" t="s">
        <v>279</v>
      </c>
      <c r="CH11" s="36" t="s">
        <v>279</v>
      </c>
      <c r="CI11" s="34">
        <f>IFERROR((VLOOKUP(CC11,Scoring!$A:$B,2,0))+IF(CE11="y",1,0)+IF(CF11="y",1,0)+IF(CG11="y",1,0)+IF(CH11="y",1,0),0)</f>
        <v>1</v>
      </c>
      <c r="CJ11" s="28"/>
      <c r="CK11" s="37"/>
      <c r="CL11" s="38"/>
      <c r="CM11" s="39"/>
      <c r="CN11" s="40"/>
      <c r="CO11" s="41"/>
      <c r="CP11" s="34">
        <f>IFERROR((VLOOKUP(CJ11,Scoring!$A:$B,2,0))+IF(CL11="y",1,0)+IF(CM11="y",1,0)+IF(CN11="y",1,0)+IF(CO11="y",1,0),0)</f>
        <v>0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279</v>
      </c>
      <c r="BR12" s="48" t="s">
        <v>279</v>
      </c>
      <c r="BS12" s="49" t="s">
        <v>279</v>
      </c>
      <c r="BT12" s="53" t="s">
        <v>279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279</v>
      </c>
      <c r="BY12" s="48" t="s">
        <v>279</v>
      </c>
      <c r="BZ12" s="49" t="s">
        <v>279</v>
      </c>
      <c r="CA12" s="53" t="s">
        <v>279</v>
      </c>
      <c r="CB12" s="51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279</v>
      </c>
      <c r="CF12" s="48" t="s">
        <v>279</v>
      </c>
      <c r="CG12" s="49" t="s">
        <v>279</v>
      </c>
      <c r="CH12" s="53" t="s">
        <v>279</v>
      </c>
      <c r="CI12" s="51">
        <f>IFERROR((VLOOKUP(CC12,Scoring!$A:$B,2,0))+IF(CE12="y",1,0)+IF(CF12="y",1,0)+IF(CG12="y",1,0)+IF(CH12="y",1,0),0)</f>
        <v>8</v>
      </c>
      <c r="CJ12" s="45"/>
      <c r="CK12" s="54"/>
      <c r="CL12" s="55"/>
      <c r="CM12" s="56"/>
      <c r="CN12" s="57"/>
      <c r="CO12" s="58"/>
      <c r="CP12" s="51">
        <f>IFERROR((VLOOKUP(CJ12,Scoring!$A:$B,2,0))+IF(CL12="y",1,0)+IF(CM12="y",1,0)+IF(CN12="y",1,0)+IF(CO12="y",1,0),0)</f>
        <v>0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279</v>
      </c>
      <c r="BR13" s="65" t="s">
        <v>279</v>
      </c>
      <c r="BS13" s="66" t="s">
        <v>279</v>
      </c>
      <c r="BT13" s="70" t="s">
        <v>279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279</v>
      </c>
      <c r="BY13" s="65" t="s">
        <v>279</v>
      </c>
      <c r="BZ13" s="66" t="s">
        <v>279</v>
      </c>
      <c r="CA13" s="70" t="s">
        <v>279</v>
      </c>
      <c r="CB13" s="68">
        <f>IFERROR((VLOOKUP(BV13,Scoring!$A:$B,2,0))+IF(BX13="y",1,0)+IF(BY13="y",1,0)+IF(BZ13="y",1,0)+IF(CA13="y",1,0),0)</f>
        <v>6</v>
      </c>
      <c r="CC13" s="62">
        <v>9.0</v>
      </c>
      <c r="CD13" s="63">
        <v>8.0</v>
      </c>
      <c r="CE13" s="64" t="s">
        <v>279</v>
      </c>
      <c r="CF13" s="65" t="s">
        <v>279</v>
      </c>
      <c r="CG13" s="66" t="s">
        <v>279</v>
      </c>
      <c r="CH13" s="70" t="s">
        <v>279</v>
      </c>
      <c r="CI13" s="68">
        <f>IFERROR((VLOOKUP(CC13,Scoring!$A:$B,2,0))+IF(CE13="y",1,0)+IF(CF13="y",1,0)+IF(CG13="y",1,0)+IF(CH13="y",1,0),0)</f>
        <v>3</v>
      </c>
      <c r="CJ13" s="62"/>
      <c r="CK13" s="71"/>
      <c r="CL13" s="72"/>
      <c r="CM13" s="73"/>
      <c r="CN13" s="74"/>
      <c r="CO13" s="75"/>
      <c r="CP13" s="68">
        <f>IFERROR((VLOOKUP(CJ13,Scoring!$A:$B,2,0))+IF(CL13="y",1,0)+IF(CM13="y",1,0)+IF(CN13="y",1,0)+IF(CO13="y",1,0),0)</f>
        <v>0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279</v>
      </c>
      <c r="BR14" s="31" t="s">
        <v>279</v>
      </c>
      <c r="BS14" s="32" t="s">
        <v>279</v>
      </c>
      <c r="BT14" s="36" t="s">
        <v>279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279</v>
      </c>
      <c r="BY14" s="31" t="s">
        <v>279</v>
      </c>
      <c r="BZ14" s="32" t="s">
        <v>279</v>
      </c>
      <c r="CA14" s="36" t="s">
        <v>278</v>
      </c>
      <c r="CB14" s="34">
        <f>IFERROR((VLOOKUP(BV14,Scoring!$A:$B,2,0))+IF(BX14="y",1,0)+IF(BY14="y",1,0)+IF(BZ14="y",1,0)+IF(CA14="y",1,0),0)</f>
        <v>26</v>
      </c>
      <c r="CC14" s="28">
        <v>3.0</v>
      </c>
      <c r="CD14" s="29">
        <v>2.0</v>
      </c>
      <c r="CE14" s="30" t="s">
        <v>279</v>
      </c>
      <c r="CF14" s="31" t="s">
        <v>279</v>
      </c>
      <c r="CG14" s="32" t="s">
        <v>279</v>
      </c>
      <c r="CH14" s="36" t="s">
        <v>279</v>
      </c>
      <c r="CI14" s="34">
        <f>IFERROR((VLOOKUP(CC14,Scoring!$A:$B,2,0))+IF(CE14="y",1,0)+IF(CF14="y",1,0)+IF(CG14="y",1,0)+IF(CH14="y",1,0),0)</f>
        <v>15</v>
      </c>
      <c r="CJ14" s="28"/>
      <c r="CK14" s="37"/>
      <c r="CL14" s="38"/>
      <c r="CM14" s="39"/>
      <c r="CN14" s="40"/>
      <c r="CO14" s="41"/>
      <c r="CP14" s="34">
        <f>IFERROR((VLOOKUP(CJ14,Scoring!$A:$B,2,0))+IF(CL14="y",1,0)+IF(CM14="y",1,0)+IF(CN14="y",1,0)+IF(CO14="y",1,0),0)</f>
        <v>0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279</v>
      </c>
      <c r="BR15" s="82" t="s">
        <v>279</v>
      </c>
      <c r="BS15" s="83" t="s">
        <v>279</v>
      </c>
      <c r="BT15" s="87" t="s">
        <v>279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278</v>
      </c>
      <c r="BY15" s="82" t="s">
        <v>278</v>
      </c>
      <c r="BZ15" s="83" t="s">
        <v>279</v>
      </c>
      <c r="CA15" s="87" t="s">
        <v>279</v>
      </c>
      <c r="CB15" s="85">
        <f>IFERROR((VLOOKUP(BV15,Scoring!$A:$B,2,0))+IF(BX15="y",1,0)+IF(BY15="y",1,0)+IF(BZ15="y",1,0)+IF(CA15="y",1,0),0)</f>
        <v>12</v>
      </c>
      <c r="CC15" s="79">
        <v>7.0</v>
      </c>
      <c r="CD15" s="80">
        <v>10.0</v>
      </c>
      <c r="CE15" s="81" t="s">
        <v>278</v>
      </c>
      <c r="CF15" s="82" t="s">
        <v>278</v>
      </c>
      <c r="CG15" s="83" t="s">
        <v>279</v>
      </c>
      <c r="CH15" s="87" t="s">
        <v>279</v>
      </c>
      <c r="CI15" s="85">
        <f>IFERROR((VLOOKUP(CC15,Scoring!$A:$B,2,0))+IF(CE15="y",1,0)+IF(CF15="y",1,0)+IF(CG15="y",1,0)+IF(CH15="y",1,0),0)</f>
        <v>8</v>
      </c>
      <c r="CJ15" s="79"/>
      <c r="CK15" s="88"/>
      <c r="CL15" s="89"/>
      <c r="CM15" s="90"/>
      <c r="CN15" s="91"/>
      <c r="CO15" s="92"/>
      <c r="CP15" s="85">
        <f>IFERROR((VLOOKUP(CJ15,Scoring!$A:$B,2,0))+IF(CL15="y",1,0)+IF(CM15="y",1,0)+IF(CN15="y",1,0)+IF(CO15="y",1,0),0)</f>
        <v>0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285</v>
      </c>
    </row>
    <row r="11">
      <c r="A11" s="1" t="s">
        <v>149</v>
      </c>
      <c r="B11" s="93" t="s">
        <v>295</v>
      </c>
      <c r="C11" s="1" t="s">
        <v>285</v>
      </c>
    </row>
    <row r="12">
      <c r="A12" s="1" t="s">
        <v>296</v>
      </c>
      <c r="B12" s="93" t="s">
        <v>297</v>
      </c>
      <c r="C12" s="1" t="s">
        <v>285</v>
      </c>
    </row>
    <row r="13">
      <c r="A13" s="1" t="s">
        <v>157</v>
      </c>
      <c r="B13" s="93" t="s">
        <v>297</v>
      </c>
      <c r="C13" s="1" t="s">
        <v>285</v>
      </c>
    </row>
    <row r="14">
      <c r="A14" s="1" t="s">
        <v>147</v>
      </c>
      <c r="B14" s="93" t="s">
        <v>298</v>
      </c>
      <c r="C14" s="1" t="s">
        <v>285</v>
      </c>
    </row>
    <row r="15">
      <c r="A15" s="1" t="s">
        <v>150</v>
      </c>
      <c r="B15" s="93" t="s">
        <v>299</v>
      </c>
      <c r="C15" s="1" t="s">
        <v>300</v>
      </c>
    </row>
    <row r="16">
      <c r="A16" s="1" t="s">
        <v>301</v>
      </c>
      <c r="B16" s="93" t="s">
        <v>302</v>
      </c>
      <c r="C16" s="1" t="s">
        <v>303</v>
      </c>
    </row>
    <row r="17">
      <c r="A17" s="1" t="s">
        <v>304</v>
      </c>
      <c r="B17" s="93" t="s">
        <v>305</v>
      </c>
      <c r="C17" s="1" t="s">
        <v>303</v>
      </c>
    </row>
    <row r="18">
      <c r="A18" s="1" t="s">
        <v>159</v>
      </c>
      <c r="B18" s="93" t="s">
        <v>306</v>
      </c>
      <c r="C18" s="1" t="s">
        <v>303</v>
      </c>
    </row>
    <row r="19">
      <c r="A19" s="1" t="s">
        <v>307</v>
      </c>
      <c r="B19" s="93" t="s">
        <v>308</v>
      </c>
      <c r="C19" s="1" t="s">
        <v>303</v>
      </c>
    </row>
    <row r="20">
      <c r="A20" s="1" t="s">
        <v>309</v>
      </c>
      <c r="B20" s="93" t="s">
        <v>310</v>
      </c>
      <c r="C20" s="1" t="s">
        <v>303</v>
      </c>
    </row>
  </sheetData>
  <drawing r:id="rId1"/>
</worksheet>
</file>